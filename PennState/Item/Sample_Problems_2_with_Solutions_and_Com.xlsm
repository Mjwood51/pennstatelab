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Mark W\Documents\"/>
    </mc:Choice>
  </mc:AlternateContent>
  <xr:revisionPtr revIDLastSave="0" documentId="13_ncr:1_{B661A0CB-23FB-48EF-8DD3-E9BE972AEDBB}" xr6:coauthVersionLast="40" xr6:coauthVersionMax="40" xr10:uidLastSave="{00000000-0000-0000-0000-000000000000}"/>
  <bookViews>
    <workbookView xWindow="28680" yWindow="-120" windowWidth="29040" windowHeight="15840" xr2:uid="{00000000-000D-0000-FFFF-FFFF00000000}"/>
  </bookViews>
  <sheets>
    <sheet name="Data Table" sheetId="4" r:id="rId1"/>
    <sheet name="Data Table2" sheetId="5" r:id="rId2"/>
    <sheet name="IRR NPV" sheetId="6" r:id="rId3"/>
    <sheet name="Function" sheetId="10" r:id="rId4"/>
  </sheets>
  <functionGroups builtInGroupCount="19"/>
  <calcPr calcId="191029"/>
</workbook>
</file>

<file path=xl/calcChain.xml><?xml version="1.0" encoding="utf-8"?>
<calcChain xmlns="http://schemas.openxmlformats.org/spreadsheetml/2006/main">
  <c r="A9" i="6" l="1"/>
  <c r="A10" i="6" s="1"/>
  <c r="A11" i="6" s="1"/>
  <c r="A12" i="6" s="1"/>
  <c r="A13" i="6" s="1"/>
  <c r="A14" i="6" s="1"/>
  <c r="A15" i="6" s="1"/>
  <c r="A16" i="6" s="1"/>
  <c r="A17" i="6" s="1"/>
  <c r="A18" i="6" s="1"/>
  <c r="A19" i="6" s="1"/>
  <c r="B6" i="5" l="1"/>
  <c r="B10" i="5" s="1"/>
  <c r="C10" i="4"/>
  <c r="C13" i="4" s="1"/>
  <c r="C8" i="10"/>
  <c r="C9" i="10"/>
  <c r="C10" i="10"/>
  <c r="C11" i="10"/>
  <c r="C12" i="10"/>
  <c r="C13" i="10"/>
  <c r="C14" i="10"/>
  <c r="C15" i="10"/>
  <c r="C16" i="10"/>
  <c r="C7" i="10"/>
  <c r="D9" i="10"/>
  <c r="D13" i="10"/>
  <c r="D7" i="10"/>
  <c r="D10" i="10"/>
  <c r="D11" i="10"/>
  <c r="D16" i="10"/>
  <c r="D8" i="10"/>
  <c r="D15" i="10"/>
  <c r="D14" i="10"/>
  <c r="D12" i="10"/>
  <c r="B21" i="6" l="1"/>
  <c r="B9" i="6"/>
  <c r="B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J. Cusatis</author>
  </authors>
  <commentList>
    <comment ref="C13" authorId="0" shapeId="0" xr:uid="{00000000-0006-0000-0000-000001000000}">
      <text>
        <r>
          <rPr>
            <b/>
            <sz val="9"/>
            <color indexed="81"/>
            <rFont val="Tahoma"/>
            <family val="2"/>
          </rPr>
          <t>Patrick J. Cusatis:</t>
        </r>
        <r>
          <rPr>
            <sz val="9"/>
            <color indexed="81"/>
            <rFont val="Tahoma"/>
            <family val="2"/>
          </rPr>
          <t xml:space="preserve">
You must reference formula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Patrick J. Cusatis</author>
  </authors>
  <commentList>
    <comment ref="B10" authorId="0" shapeId="0" xr:uid="{00000000-0006-0000-0100-000001000000}">
      <text>
        <r>
          <rPr>
            <b/>
            <sz val="9"/>
            <color indexed="81"/>
            <rFont val="Tahoma"/>
            <family val="2"/>
          </rPr>
          <t>Patrick J. Cusatis:</t>
        </r>
        <r>
          <rPr>
            <sz val="9"/>
            <color indexed="81"/>
            <rFont val="Tahoma"/>
            <family val="2"/>
          </rPr>
          <t xml:space="preserve">
Remember to reference formula here</t>
        </r>
      </text>
    </comment>
    <comment ref="H11" authorId="0" shapeId="0" xr:uid="{00000000-0006-0000-0100-000002000000}">
      <text>
        <r>
          <rPr>
            <b/>
            <sz val="9"/>
            <color indexed="81"/>
            <rFont val="Tahoma"/>
            <family val="2"/>
          </rPr>
          <t>Patrick J. Cusatis:</t>
        </r>
        <r>
          <rPr>
            <sz val="9"/>
            <color indexed="81"/>
            <rFont val="Tahoma"/>
            <family val="2"/>
          </rPr>
          <t xml:space="preserve">
Remember to format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Patrick J. Cusatis</author>
  </authors>
  <commentList>
    <comment ref="B21" authorId="0" shapeId="0" xr:uid="{00000000-0006-0000-0200-000001000000}">
      <text>
        <r>
          <rPr>
            <b/>
            <sz val="9"/>
            <color indexed="81"/>
            <rFont val="Tahoma"/>
            <family val="2"/>
          </rPr>
          <t>Patrick J. Cusatis:</t>
        </r>
        <r>
          <rPr>
            <sz val="9"/>
            <color indexed="81"/>
            <rFont val="Tahoma"/>
            <family val="2"/>
          </rPr>
          <t xml:space="preserve">
Dates are given so we need XNPV and XIRR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Patrick J. Cusatis</author>
  </authors>
  <commentList>
    <comment ref="D7" authorId="0" shapeId="0" xr:uid="{00000000-0006-0000-0300-000001000000}">
      <text>
        <r>
          <rPr>
            <b/>
            <sz val="9"/>
            <color indexed="81"/>
            <rFont val="Tahoma"/>
            <family val="2"/>
          </rPr>
          <t>Patrick J. Cusatis:</t>
        </r>
        <r>
          <rPr>
            <sz val="9"/>
            <color indexed="81"/>
            <rFont val="Tahoma"/>
            <family val="2"/>
          </rPr>
          <t xml:space="preserve">
In this case, rf and rm must be anchored because they are fixed inC3 and C4.</t>
        </r>
      </text>
    </comment>
  </commentList>
</comments>
</file>

<file path=xl/sharedStrings.xml><?xml version="1.0" encoding="utf-8"?>
<sst xmlns="http://schemas.openxmlformats.org/spreadsheetml/2006/main" count="30" uniqueCount="28">
  <si>
    <t>Interest rate</t>
  </si>
  <si>
    <t>Years</t>
  </si>
  <si>
    <t>Present value</t>
  </si>
  <si>
    <t>Date Table</t>
  </si>
  <si>
    <t>Data Table</t>
  </si>
  <si>
    <t>Present Value</t>
  </si>
  <si>
    <t>Year</t>
  </si>
  <si>
    <t>Initial Cost</t>
  </si>
  <si>
    <t>NPV</t>
  </si>
  <si>
    <t>IRR</t>
  </si>
  <si>
    <t>Project Cash Flows</t>
  </si>
  <si>
    <t>Interest Rate</t>
  </si>
  <si>
    <t>Rate</t>
  </si>
  <si>
    <t>Annual Deposit</t>
  </si>
  <si>
    <t>Beta</t>
  </si>
  <si>
    <t>CAPM</t>
  </si>
  <si>
    <t>Risk Free Rate</t>
  </si>
  <si>
    <t>Market Return</t>
  </si>
  <si>
    <t>CAPM Function</t>
  </si>
  <si>
    <t>Year 1</t>
  </si>
  <si>
    <t>Year 2</t>
  </si>
  <si>
    <t>Year 3</t>
  </si>
  <si>
    <t>Year 4</t>
  </si>
  <si>
    <t>Q2: Compute the present value of the cash flows below (10 deposits of $100) in cell B6.  The present value should be positive.  Assume an ordinary annuity (the first payment comes at the end of the first period). Next, using that present value, insert a two-dimensional data table so that the present value is computed for alternative interest rates and annual deposits. Format all results to two decimal places.</t>
  </si>
  <si>
    <t>Below are dates and expected cash flows on a corporate project.  Using the XNPV and XIRR functions, compute the correct Net Present Value and Internal Rate of Return for the project in cells B21 and B22. Format all results to two decimal places.</t>
  </si>
  <si>
    <t>Create a custom function called CAPM that computes the CAPM return as shown below. It should replicate the values in column C.  Use the function to compute the CAPM return for different values of beta and display the results in column D.</t>
  </si>
  <si>
    <t>In cell C10, use the NPV function to compute the present value of the four payments below.  Next, complete the data table below so that the present value is computed for alternative interest rates. Format all results to two decimal places.</t>
  </si>
  <si>
    <t>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</si>
</sst>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_(* #,##0_);_(* \(#,##0\);_(* &quot;-&quot;??_);_(@_)"/>
    <numFmt numFmtId="165" formatCode="_ * #,##0.00_ ;_ * \-#,##0.00_ ;_ * &quot;-&quot;??_ ;_ @_ "/>
  </numFmts>
  <fonts count="8" x14ac:knownFonts="1">
    <font>
      <sz val="11"/>
      <color theme="1"/>
      <name val="Calibri"/>
      <family val="2"/>
      <scheme val="minor"/>
    </font>
    <font>
      <sz val="11"/>
      <color theme="1"/>
      <name val="Calibri"/>
      <family val="2"/>
      <scheme val="minor"/>
    </font>
    <font>
      <sz val="10"/>
      <name val="Arial"/>
      <family val="2"/>
    </font>
    <font>
      <sz val="12"/>
      <name val="Arial"/>
      <family val="2"/>
    </font>
    <font>
      <b/>
      <sz val="10"/>
      <name val="Arial"/>
      <family val="2"/>
    </font>
    <font>
      <sz val="10"/>
      <color theme="1"/>
      <name val="Arial"/>
      <family val="2"/>
    </font>
    <font>
      <sz val="9"/>
      <color indexed="81"/>
      <name val="Tahoma"/>
      <family val="2"/>
    </font>
    <font>
      <b/>
      <sz val="9"/>
      <color indexed="81"/>
      <name val="Tahoma"/>
      <family val="2"/>
    </font>
  </fonts>
  <fills count="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indexed="22"/>
        <bgColor indexed="64"/>
      </patternFill>
    </fill>
  </fills>
  <borders count="1">
    <border>
      <left/>
      <right/>
      <top/>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cellStyleXfs>
  <cellXfs count="54">
    <xf numFmtId="0" fontId="0" fillId="0" borderId="0" xfId="0"/>
    <xf numFmtId="0" fontId="2" fillId="0" borderId="0" xfId="3"/>
    <xf numFmtId="9" fontId="2" fillId="0" borderId="0" xfId="3" applyNumberFormat="1"/>
    <xf numFmtId="4" fontId="2" fillId="0" borderId="0" xfId="3" applyNumberFormat="1"/>
    <xf numFmtId="0" fontId="2" fillId="0" borderId="0" xfId="3" applyAlignment="1">
      <alignment horizontal="center"/>
    </xf>
    <xf numFmtId="9" fontId="2" fillId="0" borderId="0" xfId="3" applyNumberFormat="1" applyAlignment="1">
      <alignment horizontal="center"/>
    </xf>
    <xf numFmtId="0" fontId="3" fillId="0" borderId="0" xfId="3" applyFont="1" applyAlignment="1">
      <alignment wrapText="1"/>
    </xf>
    <xf numFmtId="0" fontId="4" fillId="0" borderId="0" xfId="3" applyFont="1"/>
    <xf numFmtId="0" fontId="2" fillId="0" borderId="0" xfId="3" applyNumberFormat="1"/>
    <xf numFmtId="0" fontId="4" fillId="0" borderId="0" xfId="3" applyFont="1" applyAlignment="1">
      <alignment horizontal="center"/>
    </xf>
    <xf numFmtId="0" fontId="2" fillId="0" borderId="0" xfId="3" quotePrefix="1" applyAlignment="1">
      <alignment horizontal="left"/>
    </xf>
    <xf numFmtId="0" fontId="2" fillId="0" borderId="0" xfId="3" applyAlignment="1">
      <alignment horizontal="left"/>
    </xf>
    <xf numFmtId="3" fontId="2" fillId="0" borderId="0" xfId="3" applyNumberFormat="1"/>
    <xf numFmtId="8" fontId="2" fillId="0" borderId="0" xfId="3" applyNumberFormat="1"/>
    <xf numFmtId="4" fontId="4" fillId="0" borderId="0" xfId="3" applyNumberFormat="1" applyFont="1" applyAlignment="1">
      <alignment horizontal="center" wrapText="1"/>
    </xf>
    <xf numFmtId="0" fontId="4" fillId="0" borderId="0" xfId="3" applyFont="1" applyAlignment="1">
      <alignment horizontal="center" wrapText="1"/>
    </xf>
    <xf numFmtId="0" fontId="2" fillId="4" borderId="0" xfId="3" quotePrefix="1" applyFont="1" applyFill="1" applyAlignment="1">
      <alignment horizontal="left" wrapText="1"/>
    </xf>
    <xf numFmtId="0" fontId="2" fillId="4" borderId="0" xfId="3" applyFont="1" applyFill="1" applyAlignment="1">
      <alignment wrapText="1"/>
    </xf>
    <xf numFmtId="0" fontId="2" fillId="4" borderId="0" xfId="3" applyFill="1"/>
    <xf numFmtId="0" fontId="2" fillId="0" borderId="0" xfId="3" applyAlignment="1">
      <alignment horizontal="center" wrapText="1"/>
    </xf>
    <xf numFmtId="4" fontId="2" fillId="2" borderId="0" xfId="3" applyNumberFormat="1" applyFill="1"/>
    <xf numFmtId="10" fontId="2" fillId="0" borderId="0" xfId="3" applyNumberFormat="1"/>
    <xf numFmtId="0" fontId="2" fillId="0" borderId="0" xfId="3" applyAlignment="1">
      <alignment horizontal="center"/>
    </xf>
    <xf numFmtId="14" fontId="2" fillId="0" borderId="0" xfId="3" applyNumberFormat="1" applyAlignment="1">
      <alignment horizontal="center"/>
    </xf>
    <xf numFmtId="0" fontId="2" fillId="0" borderId="0" xfId="3" applyFont="1"/>
    <xf numFmtId="0" fontId="2" fillId="0" borderId="0" xfId="3" applyFont="1" applyAlignment="1">
      <alignment horizontal="right"/>
    </xf>
    <xf numFmtId="0" fontId="2" fillId="0" borderId="0" xfId="3" applyFont="1" applyAlignment="1">
      <alignment horizontal="center"/>
    </xf>
    <xf numFmtId="0" fontId="2" fillId="0" borderId="0" xfId="3" quotePrefix="1" applyFont="1" applyAlignment="1">
      <alignment horizontal="center"/>
    </xf>
    <xf numFmtId="164" fontId="2" fillId="0" borderId="0" xfId="1" applyNumberFormat="1" applyFont="1"/>
    <xf numFmtId="10" fontId="2" fillId="0" borderId="0" xfId="2" applyNumberFormat="1" applyFont="1"/>
    <xf numFmtId="4" fontId="2" fillId="2" borderId="0" xfId="3" applyNumberFormat="1" applyFont="1" applyFill="1"/>
    <xf numFmtId="0" fontId="2" fillId="4" borderId="0" xfId="3" applyFill="1" applyAlignment="1">
      <alignment horizontal="center"/>
    </xf>
    <xf numFmtId="44" fontId="2" fillId="2" borderId="0" xfId="8" applyFont="1" applyFill="1"/>
    <xf numFmtId="10" fontId="2" fillId="2" borderId="0" xfId="2" applyNumberFormat="1" applyFont="1" applyFill="1"/>
    <xf numFmtId="43" fontId="2" fillId="4" borderId="0" xfId="1" applyFont="1" applyFill="1"/>
    <xf numFmtId="0" fontId="2" fillId="0" borderId="0" xfId="3" applyFont="1" applyBorder="1" applyAlignment="1">
      <alignment horizontal="right"/>
    </xf>
    <xf numFmtId="0" fontId="2" fillId="0" borderId="0" xfId="3" quotePrefix="1" applyFont="1" applyAlignment="1">
      <alignment horizontal="center" wrapText="1"/>
    </xf>
    <xf numFmtId="164" fontId="5" fillId="0" borderId="0" xfId="4" applyNumberFormat="1" applyFont="1" applyAlignment="1">
      <alignment horizontal="right"/>
    </xf>
    <xf numFmtId="10" fontId="5" fillId="0" borderId="0" xfId="5" applyNumberFormat="1" applyFont="1" applyBorder="1"/>
    <xf numFmtId="43" fontId="5" fillId="0" borderId="0" xfId="1" applyFont="1" applyAlignment="1"/>
    <xf numFmtId="10" fontId="5" fillId="0" borderId="0" xfId="2" applyNumberFormat="1" applyFont="1"/>
    <xf numFmtId="0" fontId="2" fillId="0" borderId="0" xfId="3" applyFont="1" applyAlignment="1">
      <alignment wrapText="1"/>
    </xf>
    <xf numFmtId="10" fontId="2" fillId="0" borderId="0" xfId="2" applyNumberFormat="1" applyFont="1" applyAlignment="1">
      <alignment wrapText="1"/>
    </xf>
    <xf numFmtId="10" fontId="2" fillId="0" borderId="0" xfId="2" applyNumberFormat="1" applyFont="1" applyAlignment="1">
      <alignment horizontal="center"/>
    </xf>
    <xf numFmtId="4" fontId="5" fillId="0" borderId="0" xfId="4" applyNumberFormat="1" applyFont="1"/>
    <xf numFmtId="4" fontId="2" fillId="0" borderId="0" xfId="3" applyNumberFormat="1" applyFont="1"/>
    <xf numFmtId="0" fontId="2" fillId="0" borderId="0" xfId="3" applyAlignment="1">
      <alignment horizontal="center"/>
    </xf>
    <xf numFmtId="0" fontId="2" fillId="3" borderId="0" xfId="3" applyFont="1" applyFill="1" applyAlignment="1">
      <alignment horizontal="left" wrapText="1"/>
    </xf>
    <xf numFmtId="0" fontId="2" fillId="3" borderId="0" xfId="3" applyFont="1" applyFill="1" applyAlignment="1">
      <alignment wrapText="1"/>
    </xf>
    <xf numFmtId="0" fontId="2" fillId="3" borderId="0" xfId="3" quotePrefix="1" applyFont="1" applyFill="1" applyAlignment="1">
      <alignment horizontal="left" wrapText="1"/>
    </xf>
    <xf numFmtId="0" fontId="4" fillId="0" borderId="0" xfId="3" applyFont="1" applyAlignment="1">
      <alignment horizontal="center"/>
    </xf>
    <xf numFmtId="0" fontId="2" fillId="0" borderId="0" xfId="3" applyAlignment="1">
      <alignment horizontal="center"/>
    </xf>
    <xf numFmtId="0" fontId="2" fillId="5" borderId="0" xfId="3" applyFont="1" applyFill="1" applyAlignment="1">
      <alignment horizontal="left" wrapText="1"/>
    </xf>
    <xf numFmtId="0" fontId="2" fillId="5" borderId="0" xfId="3" applyFill="1" applyAlignment="1">
      <alignment wrapText="1"/>
    </xf>
  </cellXfs>
  <cellStyles count="9">
    <cellStyle name="Comma" xfId="1" builtinId="3"/>
    <cellStyle name="Comma 2" xfId="4" xr:uid="{00000000-0005-0000-0000-000001000000}"/>
    <cellStyle name="Comma 3" xfId="6" xr:uid="{00000000-0005-0000-0000-000002000000}"/>
    <cellStyle name="Currency" xfId="8" builtinId="4"/>
    <cellStyle name="Currency 2" xfId="7" xr:uid="{00000000-0005-0000-0000-000004000000}"/>
    <cellStyle name="Normal" xfId="0" builtinId="0"/>
    <cellStyle name="Normal 2" xfId="3" xr:uid="{00000000-0005-0000-0000-000006000000}"/>
    <cellStyle name="Percent" xfId="2" builtinId="5"/>
    <cellStyle name="Percent 2" xfId="5" xr:uid="{00000000-0005-0000-0000-00000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showGridLines="0" tabSelected="1" workbookViewId="0">
      <selection activeCell="C10" sqref="C10"/>
    </sheetView>
  </sheetViews>
  <sheetFormatPr defaultRowHeight="12.75" x14ac:dyDescent="0.2"/>
  <cols>
    <col min="1" max="1" width="11.85546875" style="1" bestFit="1" customWidth="1"/>
    <col min="2" max="2" width="12.140625" style="1" customWidth="1"/>
    <col min="3" max="3" width="14.7109375" style="1" customWidth="1"/>
    <col min="4" max="8" width="9.140625" style="1"/>
    <col min="9" max="9" width="13" style="1" customWidth="1"/>
    <col min="10" max="16384" width="9.140625" style="1"/>
  </cols>
  <sheetData>
    <row r="1" spans="1:9" ht="58.5" customHeight="1" x14ac:dyDescent="0.2">
      <c r="A1" s="47" t="s">
        <v>26</v>
      </c>
      <c r="B1" s="48"/>
      <c r="C1" s="48"/>
      <c r="D1" s="48"/>
      <c r="E1" s="48"/>
      <c r="F1" s="48"/>
      <c r="G1" s="48"/>
      <c r="H1" s="48"/>
      <c r="I1" s="48"/>
    </row>
    <row r="2" spans="1:9" ht="15" x14ac:dyDescent="0.2">
      <c r="A2" s="6"/>
      <c r="B2" s="6"/>
      <c r="C2" s="6"/>
      <c r="D2" s="6"/>
      <c r="E2" s="6"/>
      <c r="F2" s="6"/>
      <c r="G2" s="6"/>
      <c r="H2" s="6"/>
      <c r="I2" s="6"/>
    </row>
    <row r="3" spans="1:9" ht="15" x14ac:dyDescent="0.2">
      <c r="A3" s="6"/>
      <c r="B3" s="41" t="s">
        <v>12</v>
      </c>
      <c r="C3" s="42">
        <v>0.08</v>
      </c>
      <c r="D3" s="6"/>
      <c r="E3" s="6"/>
      <c r="F3" s="6"/>
      <c r="G3" s="6"/>
      <c r="H3" s="6"/>
      <c r="I3" s="6"/>
    </row>
    <row r="4" spans="1:9" ht="15" x14ac:dyDescent="0.2">
      <c r="A4" s="6"/>
      <c r="B4" s="6"/>
      <c r="C4" s="6"/>
      <c r="D4" s="6"/>
      <c r="E4" s="6"/>
      <c r="F4" s="6"/>
      <c r="G4" s="6"/>
      <c r="H4" s="6"/>
      <c r="I4" s="6"/>
    </row>
    <row r="5" spans="1:9" x14ac:dyDescent="0.2">
      <c r="B5" s="1" t="s">
        <v>19</v>
      </c>
      <c r="C5" s="28">
        <v>100</v>
      </c>
    </row>
    <row r="6" spans="1:9" x14ac:dyDescent="0.2">
      <c r="B6" s="1" t="s">
        <v>20</v>
      </c>
      <c r="C6" s="28">
        <v>200</v>
      </c>
    </row>
    <row r="7" spans="1:9" x14ac:dyDescent="0.2">
      <c r="B7" s="1" t="s">
        <v>21</v>
      </c>
      <c r="C7" s="28">
        <v>300</v>
      </c>
    </row>
    <row r="8" spans="1:9" x14ac:dyDescent="0.2">
      <c r="B8" s="1" t="s">
        <v>22</v>
      </c>
      <c r="C8" s="28">
        <v>400</v>
      </c>
    </row>
    <row r="10" spans="1:9" x14ac:dyDescent="0.2">
      <c r="B10" s="1" t="s">
        <v>2</v>
      </c>
      <c r="C10" s="20">
        <f>NPV(C3,C5:C8)</f>
        <v>796.22197007758143</v>
      </c>
    </row>
    <row r="12" spans="1:9" x14ac:dyDescent="0.2">
      <c r="B12" s="46" t="s">
        <v>27</v>
      </c>
      <c r="C12" s="9" t="s">
        <v>3</v>
      </c>
    </row>
    <row r="13" spans="1:9" x14ac:dyDescent="0.2">
      <c r="B13" s="22"/>
      <c r="C13" s="3">
        <f>C10</f>
        <v>796.22197007758143</v>
      </c>
    </row>
    <row r="14" spans="1:9" x14ac:dyDescent="0.2">
      <c r="B14" s="43">
        <v>0.01</v>
      </c>
      <c r="C14" s="3">
        <f t="dataTable" ref="C14:C21" dt2D="0" dtr="0" r1="C3"/>
        <v>970.63829304290311</v>
      </c>
    </row>
    <row r="15" spans="1:9" x14ac:dyDescent="0.2">
      <c r="B15" s="43">
        <v>0.02</v>
      </c>
      <c r="C15" s="3">
        <v>942.5078427085906</v>
      </c>
    </row>
    <row r="16" spans="1:9" x14ac:dyDescent="0.2">
      <c r="B16" s="43">
        <v>0.03</v>
      </c>
      <c r="C16" s="3">
        <v>915.54387743975099</v>
      </c>
    </row>
    <row r="17" spans="2:3" x14ac:dyDescent="0.2">
      <c r="B17" s="43">
        <v>0.04</v>
      </c>
      <c r="C17" s="3">
        <v>889.68567277056115</v>
      </c>
    </row>
    <row r="18" spans="2:3" x14ac:dyDescent="0.2">
      <c r="B18" s="43">
        <v>0.05</v>
      </c>
      <c r="C18" s="3">
        <v>864.87626040590078</v>
      </c>
    </row>
    <row r="19" spans="2:3" x14ac:dyDescent="0.2">
      <c r="B19" s="43">
        <v>0.06</v>
      </c>
      <c r="C19" s="3">
        <v>841.06216084925597</v>
      </c>
    </row>
    <row r="20" spans="2:3" x14ac:dyDescent="0.2">
      <c r="B20" s="43">
        <v>7.0000000000000007E-2</v>
      </c>
      <c r="C20" s="3">
        <v>818.19313746614159</v>
      </c>
    </row>
    <row r="21" spans="2:3" x14ac:dyDescent="0.2">
      <c r="B21" s="43">
        <v>0.08</v>
      </c>
      <c r="C21" s="3">
        <v>796.22197007758143</v>
      </c>
    </row>
  </sheetData>
  <mergeCells count="1">
    <mergeCell ref="A1:I1"/>
  </mergeCells>
  <printOptions headings="1" gridLines="1"/>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18"/>
  <sheetViews>
    <sheetView showGridLines="0" workbookViewId="0">
      <selection activeCell="J19" sqref="J18:J19"/>
    </sheetView>
  </sheetViews>
  <sheetFormatPr defaultRowHeight="12.75" x14ac:dyDescent="0.2"/>
  <cols>
    <col min="1" max="1" width="15.7109375" style="1" customWidth="1"/>
    <col min="2" max="2" width="9.140625" style="1"/>
    <col min="3" max="3" width="10.28515625" style="1" customWidth="1"/>
    <col min="4" max="7" width="9.28515625" style="1" bestFit="1" customWidth="1"/>
    <col min="8" max="8" width="10.42578125" style="1" bestFit="1" customWidth="1"/>
    <col min="9" max="16384" width="9.140625" style="1"/>
  </cols>
  <sheetData>
    <row r="1" spans="1:9" ht="60.75" customHeight="1" x14ac:dyDescent="0.2">
      <c r="A1" s="49" t="s">
        <v>23</v>
      </c>
      <c r="B1" s="48"/>
      <c r="C1" s="48"/>
      <c r="D1" s="48"/>
      <c r="E1" s="48"/>
      <c r="F1" s="48"/>
      <c r="G1" s="48"/>
      <c r="H1" s="48"/>
      <c r="I1" s="48"/>
    </row>
    <row r="2" spans="1:9" s="18" customFormat="1" x14ac:dyDescent="0.2">
      <c r="A2" s="16"/>
      <c r="B2" s="17"/>
      <c r="C2" s="17"/>
      <c r="D2" s="17"/>
      <c r="E2" s="17"/>
      <c r="F2" s="17"/>
      <c r="G2" s="17"/>
      <c r="H2" s="17"/>
      <c r="I2" s="17"/>
    </row>
    <row r="3" spans="1:9" x14ac:dyDescent="0.2">
      <c r="A3" s="1" t="s">
        <v>0</v>
      </c>
      <c r="B3" s="21">
        <v>0.04</v>
      </c>
    </row>
    <row r="4" spans="1:9" x14ac:dyDescent="0.2">
      <c r="A4" s="1" t="s">
        <v>13</v>
      </c>
      <c r="B4" s="1">
        <v>100</v>
      </c>
    </row>
    <row r="5" spans="1:9" x14ac:dyDescent="0.2">
      <c r="A5" s="1" t="s">
        <v>1</v>
      </c>
      <c r="B5" s="1">
        <v>10</v>
      </c>
    </row>
    <row r="6" spans="1:9" x14ac:dyDescent="0.2">
      <c r="A6" s="10" t="s">
        <v>5</v>
      </c>
      <c r="B6" s="30">
        <f>PV(B3,B5,-B4)</f>
        <v>811.0895779355036</v>
      </c>
    </row>
    <row r="8" spans="1:9" x14ac:dyDescent="0.2">
      <c r="A8" s="7"/>
      <c r="C8" s="50" t="s">
        <v>4</v>
      </c>
      <c r="D8" s="50"/>
      <c r="E8" s="50"/>
      <c r="F8" s="50"/>
      <c r="G8" s="50"/>
      <c r="H8" s="50"/>
    </row>
    <row r="9" spans="1:9" x14ac:dyDescent="0.2">
      <c r="C9" s="51" t="s">
        <v>1</v>
      </c>
      <c r="D9" s="51"/>
      <c r="E9" s="51"/>
      <c r="F9" s="51"/>
      <c r="G9" s="51"/>
      <c r="H9" s="51"/>
    </row>
    <row r="10" spans="1:9" x14ac:dyDescent="0.2">
      <c r="A10" s="4"/>
      <c r="B10" s="3">
        <f>B6</f>
        <v>811.0895779355036</v>
      </c>
      <c r="C10" s="8">
        <v>5</v>
      </c>
      <c r="D10" s="8">
        <v>10</v>
      </c>
      <c r="E10" s="8">
        <v>15</v>
      </c>
      <c r="F10" s="8">
        <v>20</v>
      </c>
      <c r="G10" s="8">
        <v>25</v>
      </c>
      <c r="H10" s="8">
        <v>30</v>
      </c>
    </row>
    <row r="11" spans="1:9" x14ac:dyDescent="0.2">
      <c r="B11" s="21">
        <v>0</v>
      </c>
      <c r="C11" s="44">
        <f t="dataTable" ref="C11:H17" dt2D="1" dtr="1" r1="B5" r2="B3"/>
        <v>500</v>
      </c>
      <c r="D11" s="44">
        <v>1000</v>
      </c>
      <c r="E11" s="44">
        <v>1500</v>
      </c>
      <c r="F11" s="44">
        <v>2000</v>
      </c>
      <c r="G11" s="44">
        <v>2500</v>
      </c>
      <c r="H11" s="44">
        <v>3000</v>
      </c>
    </row>
    <row r="12" spans="1:9" x14ac:dyDescent="0.2">
      <c r="A12" s="5"/>
      <c r="B12" s="21">
        <v>0.01</v>
      </c>
      <c r="C12" s="44">
        <v>485.34312393251139</v>
      </c>
      <c r="D12" s="44">
        <v>947.13045307016887</v>
      </c>
      <c r="E12" s="44">
        <v>1386.5052517162096</v>
      </c>
      <c r="F12" s="44">
        <v>1804.5552966270457</v>
      </c>
      <c r="G12" s="44">
        <v>2202.3155700621669</v>
      </c>
      <c r="H12" s="44">
        <v>2580.7708221287603</v>
      </c>
    </row>
    <row r="13" spans="1:9" x14ac:dyDescent="0.2">
      <c r="A13" s="5" t="s">
        <v>11</v>
      </c>
      <c r="B13" s="21">
        <v>0.02</v>
      </c>
      <c r="C13" s="44">
        <v>471.34595085042059</v>
      </c>
      <c r="D13" s="44">
        <v>898.25850062422342</v>
      </c>
      <c r="E13" s="44">
        <v>1284.9263500574036</v>
      </c>
      <c r="F13" s="44">
        <v>1635.1433344597112</v>
      </c>
      <c r="G13" s="44">
        <v>1952.3456473586034</v>
      </c>
      <c r="H13" s="44">
        <v>2239.6455551004397</v>
      </c>
    </row>
    <row r="14" spans="1:9" x14ac:dyDescent="0.2">
      <c r="A14" s="5"/>
      <c r="B14" s="21">
        <v>0.03</v>
      </c>
      <c r="C14" s="44">
        <v>457.97071871945309</v>
      </c>
      <c r="D14" s="44">
        <v>853.02028367758282</v>
      </c>
      <c r="E14" s="44">
        <v>1193.7935086776079</v>
      </c>
      <c r="F14" s="44">
        <v>1487.7474860455502</v>
      </c>
      <c r="G14" s="44">
        <v>1741.3147691278011</v>
      </c>
      <c r="H14" s="44">
        <v>1960.0441349469772</v>
      </c>
    </row>
    <row r="15" spans="1:9" x14ac:dyDescent="0.2">
      <c r="A15" s="5"/>
      <c r="B15" s="21">
        <v>0.04</v>
      </c>
      <c r="C15" s="44">
        <v>445.18223310162108</v>
      </c>
      <c r="D15" s="44">
        <v>811.0895779355036</v>
      </c>
      <c r="E15" s="44">
        <v>1111.8387432168129</v>
      </c>
      <c r="F15" s="44">
        <v>1359.0326344967698</v>
      </c>
      <c r="G15" s="44">
        <v>1562.2079943650906</v>
      </c>
      <c r="H15" s="44">
        <v>1729.2033300664491</v>
      </c>
    </row>
    <row r="16" spans="1:9" x14ac:dyDescent="0.2">
      <c r="A16" s="5"/>
      <c r="B16" s="21">
        <v>0.05</v>
      </c>
      <c r="C16" s="44">
        <v>432.94766706308206</v>
      </c>
      <c r="D16" s="44">
        <v>772.17349291848132</v>
      </c>
      <c r="E16" s="44">
        <v>1037.9658038180596</v>
      </c>
      <c r="F16" s="44">
        <v>1246.2210342539986</v>
      </c>
      <c r="G16" s="44">
        <v>1409.3944566044759</v>
      </c>
      <c r="H16" s="44">
        <v>1537.2451026882836</v>
      </c>
    </row>
    <row r="17" spans="1:8" x14ac:dyDescent="0.2">
      <c r="A17" s="5"/>
      <c r="B17" s="21">
        <v>0.06</v>
      </c>
      <c r="C17" s="45">
        <v>421.23637855657182</v>
      </c>
      <c r="D17" s="45">
        <v>736.00870514147027</v>
      </c>
      <c r="E17" s="45">
        <v>971.22489877409942</v>
      </c>
      <c r="F17" s="45">
        <v>1146.9921218565262</v>
      </c>
      <c r="G17" s="45">
        <v>1278.3356158268414</v>
      </c>
      <c r="H17" s="45">
        <v>1376.4831151489432</v>
      </c>
    </row>
    <row r="18" spans="1:8" x14ac:dyDescent="0.2">
      <c r="A18" s="5"/>
    </row>
  </sheetData>
  <mergeCells count="3">
    <mergeCell ref="A1:I1"/>
    <mergeCell ref="C8:H8"/>
    <mergeCell ref="C9:H9"/>
  </mergeCells>
  <printOptions headings="1" gridLines="1"/>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I25"/>
  <sheetViews>
    <sheetView showGridLines="0" workbookViewId="0">
      <selection activeCell="B22" sqref="B22"/>
    </sheetView>
  </sheetViews>
  <sheetFormatPr defaultRowHeight="12.75" x14ac:dyDescent="0.2"/>
  <cols>
    <col min="1" max="1" width="18.5703125" style="4" customWidth="1"/>
    <col min="2" max="2" width="14.28515625" style="1" customWidth="1"/>
    <col min="3" max="3" width="18.85546875" style="1" bestFit="1" customWidth="1"/>
    <col min="4" max="4" width="15.85546875" style="1" customWidth="1"/>
    <col min="5" max="5" width="17.7109375" style="1" customWidth="1"/>
    <col min="6" max="6" width="16.42578125" style="1" customWidth="1"/>
    <col min="7" max="7" width="13.5703125" style="1" customWidth="1"/>
    <col min="8" max="8" width="16.42578125" style="1" customWidth="1"/>
    <col min="9" max="9" width="16.42578125" style="3" customWidth="1"/>
    <col min="10" max="16384" width="9.140625" style="1"/>
  </cols>
  <sheetData>
    <row r="1" spans="1:9" ht="55.5" customHeight="1" x14ac:dyDescent="0.2">
      <c r="A1" s="49" t="s">
        <v>24</v>
      </c>
      <c r="B1" s="48"/>
      <c r="C1" s="48"/>
      <c r="D1" s="48"/>
      <c r="E1" s="48"/>
      <c r="F1" s="48"/>
      <c r="G1" s="48"/>
      <c r="H1" s="48"/>
      <c r="I1" s="48"/>
    </row>
    <row r="2" spans="1:9" s="18" customFormat="1" x14ac:dyDescent="0.2">
      <c r="A2" s="16"/>
      <c r="B2" s="17"/>
      <c r="C2" s="17"/>
      <c r="D2" s="17"/>
      <c r="E2" s="17"/>
      <c r="F2" s="17"/>
      <c r="G2" s="17"/>
      <c r="H2" s="17"/>
      <c r="I2" s="17"/>
    </row>
    <row r="3" spans="1:9" x14ac:dyDescent="0.2">
      <c r="A3" s="11" t="s">
        <v>7</v>
      </c>
      <c r="B3" s="12">
        <v>160000</v>
      </c>
    </row>
    <row r="4" spans="1:9" x14ac:dyDescent="0.2">
      <c r="A4" s="11" t="s">
        <v>0</v>
      </c>
      <c r="B4" s="2">
        <v>0.08</v>
      </c>
    </row>
    <row r="5" spans="1:9" x14ac:dyDescent="0.2">
      <c r="A5" s="11"/>
      <c r="B5" s="8"/>
    </row>
    <row r="6" spans="1:9" x14ac:dyDescent="0.2">
      <c r="A6" s="11"/>
      <c r="B6" s="13"/>
    </row>
    <row r="7" spans="1:9" x14ac:dyDescent="0.2">
      <c r="A7" s="11"/>
      <c r="B7" s="8"/>
    </row>
    <row r="8" spans="1:9" s="9" customFormat="1" ht="25.5" x14ac:dyDescent="0.2">
      <c r="A8" s="9" t="s">
        <v>6</v>
      </c>
      <c r="B8" s="14" t="s">
        <v>10</v>
      </c>
      <c r="D8" s="15"/>
    </row>
    <row r="9" spans="1:9" x14ac:dyDescent="0.2">
      <c r="A9" s="23">
        <f ca="1">TODAY()</f>
        <v>43503</v>
      </c>
      <c r="B9" s="3">
        <f>-B3</f>
        <v>-160000</v>
      </c>
      <c r="D9" s="3"/>
    </row>
    <row r="10" spans="1:9" x14ac:dyDescent="0.2">
      <c r="A10" s="23">
        <f ca="1">A9+150</f>
        <v>43653</v>
      </c>
      <c r="B10" s="3">
        <v>20000</v>
      </c>
      <c r="D10" s="3"/>
    </row>
    <row r="11" spans="1:9" x14ac:dyDescent="0.2">
      <c r="A11" s="23">
        <f ca="1">A10+182</f>
        <v>43835</v>
      </c>
      <c r="B11" s="3">
        <v>22000</v>
      </c>
      <c r="D11" s="3"/>
    </row>
    <row r="12" spans="1:9" x14ac:dyDescent="0.2">
      <c r="A12" s="23">
        <f t="shared" ref="A12:A19" ca="1" si="0">A11+182</f>
        <v>44017</v>
      </c>
      <c r="B12" s="3">
        <v>23000</v>
      </c>
      <c r="D12" s="3"/>
    </row>
    <row r="13" spans="1:9" x14ac:dyDescent="0.2">
      <c r="A13" s="23">
        <f t="shared" ca="1" si="0"/>
        <v>44199</v>
      </c>
      <c r="B13" s="3">
        <v>24666.666666666701</v>
      </c>
      <c r="D13" s="3"/>
    </row>
    <row r="14" spans="1:9" x14ac:dyDescent="0.2">
      <c r="A14" s="23">
        <f t="shared" ca="1" si="0"/>
        <v>44381</v>
      </c>
      <c r="B14" s="3">
        <v>26166.666666666701</v>
      </c>
      <c r="D14" s="3"/>
    </row>
    <row r="15" spans="1:9" x14ac:dyDescent="0.2">
      <c r="A15" s="23">
        <f t="shared" ca="1" si="0"/>
        <v>44563</v>
      </c>
      <c r="B15" s="3">
        <v>27666.666666666701</v>
      </c>
      <c r="D15" s="3"/>
    </row>
    <row r="16" spans="1:9" x14ac:dyDescent="0.2">
      <c r="A16" s="23">
        <f t="shared" ca="1" si="0"/>
        <v>44745</v>
      </c>
      <c r="B16" s="3">
        <v>-32000</v>
      </c>
      <c r="D16" s="3"/>
    </row>
    <row r="17" spans="1:5" x14ac:dyDescent="0.2">
      <c r="A17" s="23">
        <f t="shared" ca="1" si="0"/>
        <v>44927</v>
      </c>
      <c r="B17" s="3">
        <v>30666.666666666701</v>
      </c>
      <c r="D17" s="3"/>
    </row>
    <row r="18" spans="1:5" x14ac:dyDescent="0.2">
      <c r="A18" s="23">
        <f t="shared" ca="1" si="0"/>
        <v>45109</v>
      </c>
      <c r="B18" s="3">
        <v>32166.666666666701</v>
      </c>
      <c r="D18" s="3"/>
    </row>
    <row r="19" spans="1:5" x14ac:dyDescent="0.2">
      <c r="A19" s="23">
        <f t="shared" ca="1" si="0"/>
        <v>45291</v>
      </c>
      <c r="B19" s="3">
        <v>33666.666666666701</v>
      </c>
    </row>
    <row r="20" spans="1:5" x14ac:dyDescent="0.2">
      <c r="A20" s="1"/>
      <c r="B20" s="3"/>
      <c r="E20" s="3"/>
    </row>
    <row r="21" spans="1:5" x14ac:dyDescent="0.2">
      <c r="A21" s="19" t="s">
        <v>8</v>
      </c>
      <c r="B21" s="32">
        <f ca="1">XNPV(B4,B9:B19,A9:A19)</f>
        <v>9801.6763848959745</v>
      </c>
    </row>
    <row r="22" spans="1:5" x14ac:dyDescent="0.2">
      <c r="A22" s="4" t="s">
        <v>9</v>
      </c>
      <c r="B22" s="33">
        <f ca="1">XIRR(B9:B19,A9:A19)</f>
        <v>0.10585132241249084</v>
      </c>
    </row>
    <row r="24" spans="1:5" x14ac:dyDescent="0.2">
      <c r="A24" s="31"/>
      <c r="B24" s="18"/>
    </row>
    <row r="25" spans="1:5" x14ac:dyDescent="0.2">
      <c r="A25" s="31"/>
      <c r="B25" s="18"/>
    </row>
  </sheetData>
  <mergeCells count="1">
    <mergeCell ref="A1:I1"/>
  </mergeCells>
  <printOptions headings="1" gridLines="1"/>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dimension ref="A1:L19"/>
  <sheetViews>
    <sheetView showGridLines="0" zoomScaleNormal="100" workbookViewId="0">
      <selection activeCell="D7" sqref="D7"/>
    </sheetView>
  </sheetViews>
  <sheetFormatPr defaultRowHeight="12.75" x14ac:dyDescent="0.2"/>
  <cols>
    <col min="1" max="1" width="25" style="1" bestFit="1" customWidth="1"/>
    <col min="2" max="2" width="12.28515625" style="1" bestFit="1" customWidth="1"/>
    <col min="3" max="3" width="10.28515625" style="1" bestFit="1" customWidth="1"/>
    <col min="4" max="5" width="11.28515625" style="1" bestFit="1" customWidth="1"/>
    <col min="6" max="256" width="9.140625" style="1"/>
    <col min="257" max="257" width="25" style="1" bestFit="1" customWidth="1"/>
    <col min="258" max="258" width="12.28515625" style="1" bestFit="1" customWidth="1"/>
    <col min="259" max="259" width="10.28515625" style="1" bestFit="1" customWidth="1"/>
    <col min="260" max="260" width="11.28515625" style="1" bestFit="1" customWidth="1"/>
    <col min="261" max="512" width="9.140625" style="1"/>
    <col min="513" max="513" width="25" style="1" bestFit="1" customWidth="1"/>
    <col min="514" max="514" width="12.28515625" style="1" bestFit="1" customWidth="1"/>
    <col min="515" max="515" width="10.28515625" style="1" bestFit="1" customWidth="1"/>
    <col min="516" max="516" width="11.28515625" style="1" bestFit="1" customWidth="1"/>
    <col min="517" max="768" width="9.140625" style="1"/>
    <col min="769" max="769" width="25" style="1" bestFit="1" customWidth="1"/>
    <col min="770" max="770" width="12.28515625" style="1" bestFit="1" customWidth="1"/>
    <col min="771" max="771" width="10.28515625" style="1" bestFit="1" customWidth="1"/>
    <col min="772" max="772" width="11.28515625" style="1" bestFit="1" customWidth="1"/>
    <col min="773" max="1024" width="9.140625" style="1"/>
    <col min="1025" max="1025" width="25" style="1" bestFit="1" customWidth="1"/>
    <col min="1026" max="1026" width="12.28515625" style="1" bestFit="1" customWidth="1"/>
    <col min="1027" max="1027" width="10.28515625" style="1" bestFit="1" customWidth="1"/>
    <col min="1028" max="1028" width="11.28515625" style="1" bestFit="1" customWidth="1"/>
    <col min="1029" max="1280" width="9.140625" style="1"/>
    <col min="1281" max="1281" width="25" style="1" bestFit="1" customWidth="1"/>
    <col min="1282" max="1282" width="12.28515625" style="1" bestFit="1" customWidth="1"/>
    <col min="1283" max="1283" width="10.28515625" style="1" bestFit="1" customWidth="1"/>
    <col min="1284" max="1284" width="11.28515625" style="1" bestFit="1" customWidth="1"/>
    <col min="1285" max="1536" width="9.140625" style="1"/>
    <col min="1537" max="1537" width="25" style="1" bestFit="1" customWidth="1"/>
    <col min="1538" max="1538" width="12.28515625" style="1" bestFit="1" customWidth="1"/>
    <col min="1539" max="1539" width="10.28515625" style="1" bestFit="1" customWidth="1"/>
    <col min="1540" max="1540" width="11.28515625" style="1" bestFit="1" customWidth="1"/>
    <col min="1541" max="1792" width="9.140625" style="1"/>
    <col min="1793" max="1793" width="25" style="1" bestFit="1" customWidth="1"/>
    <col min="1794" max="1794" width="12.28515625" style="1" bestFit="1" customWidth="1"/>
    <col min="1795" max="1795" width="10.28515625" style="1" bestFit="1" customWidth="1"/>
    <col min="1796" max="1796" width="11.28515625" style="1" bestFit="1" customWidth="1"/>
    <col min="1797" max="2048" width="9.140625" style="1"/>
    <col min="2049" max="2049" width="25" style="1" bestFit="1" customWidth="1"/>
    <col min="2050" max="2050" width="12.28515625" style="1" bestFit="1" customWidth="1"/>
    <col min="2051" max="2051" width="10.28515625" style="1" bestFit="1" customWidth="1"/>
    <col min="2052" max="2052" width="11.28515625" style="1" bestFit="1" customWidth="1"/>
    <col min="2053" max="2304" width="9.140625" style="1"/>
    <col min="2305" max="2305" width="25" style="1" bestFit="1" customWidth="1"/>
    <col min="2306" max="2306" width="12.28515625" style="1" bestFit="1" customWidth="1"/>
    <col min="2307" max="2307" width="10.28515625" style="1" bestFit="1" customWidth="1"/>
    <col min="2308" max="2308" width="11.28515625" style="1" bestFit="1" customWidth="1"/>
    <col min="2309" max="2560" width="9.140625" style="1"/>
    <col min="2561" max="2561" width="25" style="1" bestFit="1" customWidth="1"/>
    <col min="2562" max="2562" width="12.28515625" style="1" bestFit="1" customWidth="1"/>
    <col min="2563" max="2563" width="10.28515625" style="1" bestFit="1" customWidth="1"/>
    <col min="2564" max="2564" width="11.28515625" style="1" bestFit="1" customWidth="1"/>
    <col min="2565" max="2816" width="9.140625" style="1"/>
    <col min="2817" max="2817" width="25" style="1" bestFit="1" customWidth="1"/>
    <col min="2818" max="2818" width="12.28515625" style="1" bestFit="1" customWidth="1"/>
    <col min="2819" max="2819" width="10.28515625" style="1" bestFit="1" customWidth="1"/>
    <col min="2820" max="2820" width="11.28515625" style="1" bestFit="1" customWidth="1"/>
    <col min="2821" max="3072" width="9.140625" style="1"/>
    <col min="3073" max="3073" width="25" style="1" bestFit="1" customWidth="1"/>
    <col min="3074" max="3074" width="12.28515625" style="1" bestFit="1" customWidth="1"/>
    <col min="3075" max="3075" width="10.28515625" style="1" bestFit="1" customWidth="1"/>
    <col min="3076" max="3076" width="11.28515625" style="1" bestFit="1" customWidth="1"/>
    <col min="3077" max="3328" width="9.140625" style="1"/>
    <col min="3329" max="3329" width="25" style="1" bestFit="1" customWidth="1"/>
    <col min="3330" max="3330" width="12.28515625" style="1" bestFit="1" customWidth="1"/>
    <col min="3331" max="3331" width="10.28515625" style="1" bestFit="1" customWidth="1"/>
    <col min="3332" max="3332" width="11.28515625" style="1" bestFit="1" customWidth="1"/>
    <col min="3333" max="3584" width="9.140625" style="1"/>
    <col min="3585" max="3585" width="25" style="1" bestFit="1" customWidth="1"/>
    <col min="3586" max="3586" width="12.28515625" style="1" bestFit="1" customWidth="1"/>
    <col min="3587" max="3587" width="10.28515625" style="1" bestFit="1" customWidth="1"/>
    <col min="3588" max="3588" width="11.28515625" style="1" bestFit="1" customWidth="1"/>
    <col min="3589" max="3840" width="9.140625" style="1"/>
    <col min="3841" max="3841" width="25" style="1" bestFit="1" customWidth="1"/>
    <col min="3842" max="3842" width="12.28515625" style="1" bestFit="1" customWidth="1"/>
    <col min="3843" max="3843" width="10.28515625" style="1" bestFit="1" customWidth="1"/>
    <col min="3844" max="3844" width="11.28515625" style="1" bestFit="1" customWidth="1"/>
    <col min="3845" max="4096" width="9.140625" style="1"/>
    <col min="4097" max="4097" width="25" style="1" bestFit="1" customWidth="1"/>
    <col min="4098" max="4098" width="12.28515625" style="1" bestFit="1" customWidth="1"/>
    <col min="4099" max="4099" width="10.28515625" style="1" bestFit="1" customWidth="1"/>
    <col min="4100" max="4100" width="11.28515625" style="1" bestFit="1" customWidth="1"/>
    <col min="4101" max="4352" width="9.140625" style="1"/>
    <col min="4353" max="4353" width="25" style="1" bestFit="1" customWidth="1"/>
    <col min="4354" max="4354" width="12.28515625" style="1" bestFit="1" customWidth="1"/>
    <col min="4355" max="4355" width="10.28515625" style="1" bestFit="1" customWidth="1"/>
    <col min="4356" max="4356" width="11.28515625" style="1" bestFit="1" customWidth="1"/>
    <col min="4357" max="4608" width="9.140625" style="1"/>
    <col min="4609" max="4609" width="25" style="1" bestFit="1" customWidth="1"/>
    <col min="4610" max="4610" width="12.28515625" style="1" bestFit="1" customWidth="1"/>
    <col min="4611" max="4611" width="10.28515625" style="1" bestFit="1" customWidth="1"/>
    <col min="4612" max="4612" width="11.28515625" style="1" bestFit="1" customWidth="1"/>
    <col min="4613" max="4864" width="9.140625" style="1"/>
    <col min="4865" max="4865" width="25" style="1" bestFit="1" customWidth="1"/>
    <col min="4866" max="4866" width="12.28515625" style="1" bestFit="1" customWidth="1"/>
    <col min="4867" max="4867" width="10.28515625" style="1" bestFit="1" customWidth="1"/>
    <col min="4868" max="4868" width="11.28515625" style="1" bestFit="1" customWidth="1"/>
    <col min="4869" max="5120" width="9.140625" style="1"/>
    <col min="5121" max="5121" width="25" style="1" bestFit="1" customWidth="1"/>
    <col min="5122" max="5122" width="12.28515625" style="1" bestFit="1" customWidth="1"/>
    <col min="5123" max="5123" width="10.28515625" style="1" bestFit="1" customWidth="1"/>
    <col min="5124" max="5124" width="11.28515625" style="1" bestFit="1" customWidth="1"/>
    <col min="5125" max="5376" width="9.140625" style="1"/>
    <col min="5377" max="5377" width="25" style="1" bestFit="1" customWidth="1"/>
    <col min="5378" max="5378" width="12.28515625" style="1" bestFit="1" customWidth="1"/>
    <col min="5379" max="5379" width="10.28515625" style="1" bestFit="1" customWidth="1"/>
    <col min="5380" max="5380" width="11.28515625" style="1" bestFit="1" customWidth="1"/>
    <col min="5381" max="5632" width="9.140625" style="1"/>
    <col min="5633" max="5633" width="25" style="1" bestFit="1" customWidth="1"/>
    <col min="5634" max="5634" width="12.28515625" style="1" bestFit="1" customWidth="1"/>
    <col min="5635" max="5635" width="10.28515625" style="1" bestFit="1" customWidth="1"/>
    <col min="5636" max="5636" width="11.28515625" style="1" bestFit="1" customWidth="1"/>
    <col min="5637" max="5888" width="9.140625" style="1"/>
    <col min="5889" max="5889" width="25" style="1" bestFit="1" customWidth="1"/>
    <col min="5890" max="5890" width="12.28515625" style="1" bestFit="1" customWidth="1"/>
    <col min="5891" max="5891" width="10.28515625" style="1" bestFit="1" customWidth="1"/>
    <col min="5892" max="5892" width="11.28515625" style="1" bestFit="1" customWidth="1"/>
    <col min="5893" max="6144" width="9.140625" style="1"/>
    <col min="6145" max="6145" width="25" style="1" bestFit="1" customWidth="1"/>
    <col min="6146" max="6146" width="12.28515625" style="1" bestFit="1" customWidth="1"/>
    <col min="6147" max="6147" width="10.28515625" style="1" bestFit="1" customWidth="1"/>
    <col min="6148" max="6148" width="11.28515625" style="1" bestFit="1" customWidth="1"/>
    <col min="6149" max="6400" width="9.140625" style="1"/>
    <col min="6401" max="6401" width="25" style="1" bestFit="1" customWidth="1"/>
    <col min="6402" max="6402" width="12.28515625" style="1" bestFit="1" customWidth="1"/>
    <col min="6403" max="6403" width="10.28515625" style="1" bestFit="1" customWidth="1"/>
    <col min="6404" max="6404" width="11.28515625" style="1" bestFit="1" customWidth="1"/>
    <col min="6405" max="6656" width="9.140625" style="1"/>
    <col min="6657" max="6657" width="25" style="1" bestFit="1" customWidth="1"/>
    <col min="6658" max="6658" width="12.28515625" style="1" bestFit="1" customWidth="1"/>
    <col min="6659" max="6659" width="10.28515625" style="1" bestFit="1" customWidth="1"/>
    <col min="6660" max="6660" width="11.28515625" style="1" bestFit="1" customWidth="1"/>
    <col min="6661" max="6912" width="9.140625" style="1"/>
    <col min="6913" max="6913" width="25" style="1" bestFit="1" customWidth="1"/>
    <col min="6914" max="6914" width="12.28515625" style="1" bestFit="1" customWidth="1"/>
    <col min="6915" max="6915" width="10.28515625" style="1" bestFit="1" customWidth="1"/>
    <col min="6916" max="6916" width="11.28515625" style="1" bestFit="1" customWidth="1"/>
    <col min="6917" max="7168" width="9.140625" style="1"/>
    <col min="7169" max="7169" width="25" style="1" bestFit="1" customWidth="1"/>
    <col min="7170" max="7170" width="12.28515625" style="1" bestFit="1" customWidth="1"/>
    <col min="7171" max="7171" width="10.28515625" style="1" bestFit="1" customWidth="1"/>
    <col min="7172" max="7172" width="11.28515625" style="1" bestFit="1" customWidth="1"/>
    <col min="7173" max="7424" width="9.140625" style="1"/>
    <col min="7425" max="7425" width="25" style="1" bestFit="1" customWidth="1"/>
    <col min="7426" max="7426" width="12.28515625" style="1" bestFit="1" customWidth="1"/>
    <col min="7427" max="7427" width="10.28515625" style="1" bestFit="1" customWidth="1"/>
    <col min="7428" max="7428" width="11.28515625" style="1" bestFit="1" customWidth="1"/>
    <col min="7429" max="7680" width="9.140625" style="1"/>
    <col min="7681" max="7681" width="25" style="1" bestFit="1" customWidth="1"/>
    <col min="7682" max="7682" width="12.28515625" style="1" bestFit="1" customWidth="1"/>
    <col min="7683" max="7683" width="10.28515625" style="1" bestFit="1" customWidth="1"/>
    <col min="7684" max="7684" width="11.28515625" style="1" bestFit="1" customWidth="1"/>
    <col min="7685" max="7936" width="9.140625" style="1"/>
    <col min="7937" max="7937" width="25" style="1" bestFit="1" customWidth="1"/>
    <col min="7938" max="7938" width="12.28515625" style="1" bestFit="1" customWidth="1"/>
    <col min="7939" max="7939" width="10.28515625" style="1" bestFit="1" customWidth="1"/>
    <col min="7940" max="7940" width="11.28515625" style="1" bestFit="1" customWidth="1"/>
    <col min="7941" max="8192" width="9.140625" style="1"/>
    <col min="8193" max="8193" width="25" style="1" bestFit="1" customWidth="1"/>
    <col min="8194" max="8194" width="12.28515625" style="1" bestFit="1" customWidth="1"/>
    <col min="8195" max="8195" width="10.28515625" style="1" bestFit="1" customWidth="1"/>
    <col min="8196" max="8196" width="11.28515625" style="1" bestFit="1" customWidth="1"/>
    <col min="8197" max="8448" width="9.140625" style="1"/>
    <col min="8449" max="8449" width="25" style="1" bestFit="1" customWidth="1"/>
    <col min="8450" max="8450" width="12.28515625" style="1" bestFit="1" customWidth="1"/>
    <col min="8451" max="8451" width="10.28515625" style="1" bestFit="1" customWidth="1"/>
    <col min="8452" max="8452" width="11.28515625" style="1" bestFit="1" customWidth="1"/>
    <col min="8453" max="8704" width="9.140625" style="1"/>
    <col min="8705" max="8705" width="25" style="1" bestFit="1" customWidth="1"/>
    <col min="8706" max="8706" width="12.28515625" style="1" bestFit="1" customWidth="1"/>
    <col min="8707" max="8707" width="10.28515625" style="1" bestFit="1" customWidth="1"/>
    <col min="8708" max="8708" width="11.28515625" style="1" bestFit="1" customWidth="1"/>
    <col min="8709" max="8960" width="9.140625" style="1"/>
    <col min="8961" max="8961" width="25" style="1" bestFit="1" customWidth="1"/>
    <col min="8962" max="8962" width="12.28515625" style="1" bestFit="1" customWidth="1"/>
    <col min="8963" max="8963" width="10.28515625" style="1" bestFit="1" customWidth="1"/>
    <col min="8964" max="8964" width="11.28515625" style="1" bestFit="1" customWidth="1"/>
    <col min="8965" max="9216" width="9.140625" style="1"/>
    <col min="9217" max="9217" width="25" style="1" bestFit="1" customWidth="1"/>
    <col min="9218" max="9218" width="12.28515625" style="1" bestFit="1" customWidth="1"/>
    <col min="9219" max="9219" width="10.28515625" style="1" bestFit="1" customWidth="1"/>
    <col min="9220" max="9220" width="11.28515625" style="1" bestFit="1" customWidth="1"/>
    <col min="9221" max="9472" width="9.140625" style="1"/>
    <col min="9473" max="9473" width="25" style="1" bestFit="1" customWidth="1"/>
    <col min="9474" max="9474" width="12.28515625" style="1" bestFit="1" customWidth="1"/>
    <col min="9475" max="9475" width="10.28515625" style="1" bestFit="1" customWidth="1"/>
    <col min="9476" max="9476" width="11.28515625" style="1" bestFit="1" customWidth="1"/>
    <col min="9477" max="9728" width="9.140625" style="1"/>
    <col min="9729" max="9729" width="25" style="1" bestFit="1" customWidth="1"/>
    <col min="9730" max="9730" width="12.28515625" style="1" bestFit="1" customWidth="1"/>
    <col min="9731" max="9731" width="10.28515625" style="1" bestFit="1" customWidth="1"/>
    <col min="9732" max="9732" width="11.28515625" style="1" bestFit="1" customWidth="1"/>
    <col min="9733" max="9984" width="9.140625" style="1"/>
    <col min="9985" max="9985" width="25" style="1" bestFit="1" customWidth="1"/>
    <col min="9986" max="9986" width="12.28515625" style="1" bestFit="1" customWidth="1"/>
    <col min="9987" max="9987" width="10.28515625" style="1" bestFit="1" customWidth="1"/>
    <col min="9988" max="9988" width="11.28515625" style="1" bestFit="1" customWidth="1"/>
    <col min="9989" max="10240" width="9.140625" style="1"/>
    <col min="10241" max="10241" width="25" style="1" bestFit="1" customWidth="1"/>
    <col min="10242" max="10242" width="12.28515625" style="1" bestFit="1" customWidth="1"/>
    <col min="10243" max="10243" width="10.28515625" style="1" bestFit="1" customWidth="1"/>
    <col min="10244" max="10244" width="11.28515625" style="1" bestFit="1" customWidth="1"/>
    <col min="10245" max="10496" width="9.140625" style="1"/>
    <col min="10497" max="10497" width="25" style="1" bestFit="1" customWidth="1"/>
    <col min="10498" max="10498" width="12.28515625" style="1" bestFit="1" customWidth="1"/>
    <col min="10499" max="10499" width="10.28515625" style="1" bestFit="1" customWidth="1"/>
    <col min="10500" max="10500" width="11.28515625" style="1" bestFit="1" customWidth="1"/>
    <col min="10501" max="10752" width="9.140625" style="1"/>
    <col min="10753" max="10753" width="25" style="1" bestFit="1" customWidth="1"/>
    <col min="10754" max="10754" width="12.28515625" style="1" bestFit="1" customWidth="1"/>
    <col min="10755" max="10755" width="10.28515625" style="1" bestFit="1" customWidth="1"/>
    <col min="10756" max="10756" width="11.28515625" style="1" bestFit="1" customWidth="1"/>
    <col min="10757" max="11008" width="9.140625" style="1"/>
    <col min="11009" max="11009" width="25" style="1" bestFit="1" customWidth="1"/>
    <col min="11010" max="11010" width="12.28515625" style="1" bestFit="1" customWidth="1"/>
    <col min="11011" max="11011" width="10.28515625" style="1" bestFit="1" customWidth="1"/>
    <col min="11012" max="11012" width="11.28515625" style="1" bestFit="1" customWidth="1"/>
    <col min="11013" max="11264" width="9.140625" style="1"/>
    <col min="11265" max="11265" width="25" style="1" bestFit="1" customWidth="1"/>
    <col min="11266" max="11266" width="12.28515625" style="1" bestFit="1" customWidth="1"/>
    <col min="11267" max="11267" width="10.28515625" style="1" bestFit="1" customWidth="1"/>
    <col min="11268" max="11268" width="11.28515625" style="1" bestFit="1" customWidth="1"/>
    <col min="11269" max="11520" width="9.140625" style="1"/>
    <col min="11521" max="11521" width="25" style="1" bestFit="1" customWidth="1"/>
    <col min="11522" max="11522" width="12.28515625" style="1" bestFit="1" customWidth="1"/>
    <col min="11523" max="11523" width="10.28515625" style="1" bestFit="1" customWidth="1"/>
    <col min="11524" max="11524" width="11.28515625" style="1" bestFit="1" customWidth="1"/>
    <col min="11525" max="11776" width="9.140625" style="1"/>
    <col min="11777" max="11777" width="25" style="1" bestFit="1" customWidth="1"/>
    <col min="11778" max="11778" width="12.28515625" style="1" bestFit="1" customWidth="1"/>
    <col min="11779" max="11779" width="10.28515625" style="1" bestFit="1" customWidth="1"/>
    <col min="11780" max="11780" width="11.28515625" style="1" bestFit="1" customWidth="1"/>
    <col min="11781" max="12032" width="9.140625" style="1"/>
    <col min="12033" max="12033" width="25" style="1" bestFit="1" customWidth="1"/>
    <col min="12034" max="12034" width="12.28515625" style="1" bestFit="1" customWidth="1"/>
    <col min="12035" max="12035" width="10.28515625" style="1" bestFit="1" customWidth="1"/>
    <col min="12036" max="12036" width="11.28515625" style="1" bestFit="1" customWidth="1"/>
    <col min="12037" max="12288" width="9.140625" style="1"/>
    <col min="12289" max="12289" width="25" style="1" bestFit="1" customWidth="1"/>
    <col min="12290" max="12290" width="12.28515625" style="1" bestFit="1" customWidth="1"/>
    <col min="12291" max="12291" width="10.28515625" style="1" bestFit="1" customWidth="1"/>
    <col min="12292" max="12292" width="11.28515625" style="1" bestFit="1" customWidth="1"/>
    <col min="12293" max="12544" width="9.140625" style="1"/>
    <col min="12545" max="12545" width="25" style="1" bestFit="1" customWidth="1"/>
    <col min="12546" max="12546" width="12.28515625" style="1" bestFit="1" customWidth="1"/>
    <col min="12547" max="12547" width="10.28515625" style="1" bestFit="1" customWidth="1"/>
    <col min="12548" max="12548" width="11.28515625" style="1" bestFit="1" customWidth="1"/>
    <col min="12549" max="12800" width="9.140625" style="1"/>
    <col min="12801" max="12801" width="25" style="1" bestFit="1" customWidth="1"/>
    <col min="12802" max="12802" width="12.28515625" style="1" bestFit="1" customWidth="1"/>
    <col min="12803" max="12803" width="10.28515625" style="1" bestFit="1" customWidth="1"/>
    <col min="12804" max="12804" width="11.28515625" style="1" bestFit="1" customWidth="1"/>
    <col min="12805" max="13056" width="9.140625" style="1"/>
    <col min="13057" max="13057" width="25" style="1" bestFit="1" customWidth="1"/>
    <col min="13058" max="13058" width="12.28515625" style="1" bestFit="1" customWidth="1"/>
    <col min="13059" max="13059" width="10.28515625" style="1" bestFit="1" customWidth="1"/>
    <col min="13060" max="13060" width="11.28515625" style="1" bestFit="1" customWidth="1"/>
    <col min="13061" max="13312" width="9.140625" style="1"/>
    <col min="13313" max="13313" width="25" style="1" bestFit="1" customWidth="1"/>
    <col min="13314" max="13314" width="12.28515625" style="1" bestFit="1" customWidth="1"/>
    <col min="13315" max="13315" width="10.28515625" style="1" bestFit="1" customWidth="1"/>
    <col min="13316" max="13316" width="11.28515625" style="1" bestFit="1" customWidth="1"/>
    <col min="13317" max="13568" width="9.140625" style="1"/>
    <col min="13569" max="13569" width="25" style="1" bestFit="1" customWidth="1"/>
    <col min="13570" max="13570" width="12.28515625" style="1" bestFit="1" customWidth="1"/>
    <col min="13571" max="13571" width="10.28515625" style="1" bestFit="1" customWidth="1"/>
    <col min="13572" max="13572" width="11.28515625" style="1" bestFit="1" customWidth="1"/>
    <col min="13573" max="13824" width="9.140625" style="1"/>
    <col min="13825" max="13825" width="25" style="1" bestFit="1" customWidth="1"/>
    <col min="13826" max="13826" width="12.28515625" style="1" bestFit="1" customWidth="1"/>
    <col min="13827" max="13827" width="10.28515625" style="1" bestFit="1" customWidth="1"/>
    <col min="13828" max="13828" width="11.28515625" style="1" bestFit="1" customWidth="1"/>
    <col min="13829" max="14080" width="9.140625" style="1"/>
    <col min="14081" max="14081" width="25" style="1" bestFit="1" customWidth="1"/>
    <col min="14082" max="14082" width="12.28515625" style="1" bestFit="1" customWidth="1"/>
    <col min="14083" max="14083" width="10.28515625" style="1" bestFit="1" customWidth="1"/>
    <col min="14084" max="14084" width="11.28515625" style="1" bestFit="1" customWidth="1"/>
    <col min="14085" max="14336" width="9.140625" style="1"/>
    <col min="14337" max="14337" width="25" style="1" bestFit="1" customWidth="1"/>
    <col min="14338" max="14338" width="12.28515625" style="1" bestFit="1" customWidth="1"/>
    <col min="14339" max="14339" width="10.28515625" style="1" bestFit="1" customWidth="1"/>
    <col min="14340" max="14340" width="11.28515625" style="1" bestFit="1" customWidth="1"/>
    <col min="14341" max="14592" width="9.140625" style="1"/>
    <col min="14593" max="14593" width="25" style="1" bestFit="1" customWidth="1"/>
    <col min="14594" max="14594" width="12.28515625" style="1" bestFit="1" customWidth="1"/>
    <col min="14595" max="14595" width="10.28515625" style="1" bestFit="1" customWidth="1"/>
    <col min="14596" max="14596" width="11.28515625" style="1" bestFit="1" customWidth="1"/>
    <col min="14597" max="14848" width="9.140625" style="1"/>
    <col min="14849" max="14849" width="25" style="1" bestFit="1" customWidth="1"/>
    <col min="14850" max="14850" width="12.28515625" style="1" bestFit="1" customWidth="1"/>
    <col min="14851" max="14851" width="10.28515625" style="1" bestFit="1" customWidth="1"/>
    <col min="14852" max="14852" width="11.28515625" style="1" bestFit="1" customWidth="1"/>
    <col min="14853" max="15104" width="9.140625" style="1"/>
    <col min="15105" max="15105" width="25" style="1" bestFit="1" customWidth="1"/>
    <col min="15106" max="15106" width="12.28515625" style="1" bestFit="1" customWidth="1"/>
    <col min="15107" max="15107" width="10.28515625" style="1" bestFit="1" customWidth="1"/>
    <col min="15108" max="15108" width="11.28515625" style="1" bestFit="1" customWidth="1"/>
    <col min="15109" max="15360" width="9.140625" style="1"/>
    <col min="15361" max="15361" width="25" style="1" bestFit="1" customWidth="1"/>
    <col min="15362" max="15362" width="12.28515625" style="1" bestFit="1" customWidth="1"/>
    <col min="15363" max="15363" width="10.28515625" style="1" bestFit="1" customWidth="1"/>
    <col min="15364" max="15364" width="11.28515625" style="1" bestFit="1" customWidth="1"/>
    <col min="15365" max="15616" width="9.140625" style="1"/>
    <col min="15617" max="15617" width="25" style="1" bestFit="1" customWidth="1"/>
    <col min="15618" max="15618" width="12.28515625" style="1" bestFit="1" customWidth="1"/>
    <col min="15619" max="15619" width="10.28515625" style="1" bestFit="1" customWidth="1"/>
    <col min="15620" max="15620" width="11.28515625" style="1" bestFit="1" customWidth="1"/>
    <col min="15621" max="15872" width="9.140625" style="1"/>
    <col min="15873" max="15873" width="25" style="1" bestFit="1" customWidth="1"/>
    <col min="15874" max="15874" width="12.28515625" style="1" bestFit="1" customWidth="1"/>
    <col min="15875" max="15875" width="10.28515625" style="1" bestFit="1" customWidth="1"/>
    <col min="15876" max="15876" width="11.28515625" style="1" bestFit="1" customWidth="1"/>
    <col min="15877" max="16128" width="9.140625" style="1"/>
    <col min="16129" max="16129" width="25" style="1" bestFit="1" customWidth="1"/>
    <col min="16130" max="16130" width="12.28515625" style="1" bestFit="1" customWidth="1"/>
    <col min="16131" max="16131" width="10.28515625" style="1" bestFit="1" customWidth="1"/>
    <col min="16132" max="16132" width="11.28515625" style="1" bestFit="1" customWidth="1"/>
    <col min="16133" max="16384" width="9.140625" style="1"/>
  </cols>
  <sheetData>
    <row r="1" spans="1:12" ht="38.25" customHeight="1" x14ac:dyDescent="0.2">
      <c r="A1" s="52" t="s">
        <v>25</v>
      </c>
      <c r="B1" s="53"/>
      <c r="C1" s="53"/>
      <c r="D1" s="53"/>
      <c r="E1" s="53"/>
      <c r="F1" s="53"/>
      <c r="G1" s="53"/>
      <c r="H1" s="53"/>
      <c r="I1" s="53"/>
      <c r="J1" s="53"/>
      <c r="K1" s="53"/>
      <c r="L1" s="53"/>
    </row>
    <row r="2" spans="1:12" x14ac:dyDescent="0.2">
      <c r="B2" s="37"/>
      <c r="C2" s="24"/>
      <c r="D2" s="24"/>
    </row>
    <row r="3" spans="1:12" x14ac:dyDescent="0.2">
      <c r="B3" s="37" t="s">
        <v>16</v>
      </c>
      <c r="C3" s="29">
        <v>0.02</v>
      </c>
      <c r="D3" s="24"/>
    </row>
    <row r="4" spans="1:12" x14ac:dyDescent="0.2">
      <c r="A4" s="10"/>
      <c r="B4" s="37" t="s">
        <v>17</v>
      </c>
      <c r="C4" s="29">
        <v>0.06</v>
      </c>
      <c r="D4" s="24"/>
      <c r="H4" s="24"/>
    </row>
    <row r="5" spans="1:12" x14ac:dyDescent="0.2">
      <c r="B5" s="35"/>
      <c r="C5" s="38"/>
      <c r="D5" s="24"/>
    </row>
    <row r="6" spans="1:12" ht="25.5" x14ac:dyDescent="0.2">
      <c r="B6" s="25" t="s">
        <v>14</v>
      </c>
      <c r="C6" s="26" t="s">
        <v>15</v>
      </c>
      <c r="D6" s="36" t="s">
        <v>18</v>
      </c>
      <c r="E6" s="27"/>
    </row>
    <row r="7" spans="1:12" x14ac:dyDescent="0.2">
      <c r="A7" s="11"/>
      <c r="B7" s="39">
        <v>0.6</v>
      </c>
      <c r="C7" s="40">
        <f>$C$3+B7*($C$4-$C$3)</f>
        <v>4.3999999999999997E-2</v>
      </c>
      <c r="D7" s="33">
        <f>capm($C$3,B7,$C$4)</f>
        <v>4.3999999999999997E-2</v>
      </c>
      <c r="E7" s="34"/>
    </row>
    <row r="8" spans="1:12" x14ac:dyDescent="0.2">
      <c r="B8" s="39">
        <v>0.8</v>
      </c>
      <c r="C8" s="40">
        <f t="shared" ref="C8:C16" si="0">$C$3+B8*($C$4-$C$3)</f>
        <v>5.1999999999999991E-2</v>
      </c>
      <c r="D8" s="33">
        <f t="shared" ref="D8:D16" si="1">capm($C$3,B8,$C$4)</f>
        <v>5.1999999999999991E-2</v>
      </c>
      <c r="E8" s="34"/>
    </row>
    <row r="9" spans="1:12" x14ac:dyDescent="0.2">
      <c r="B9" s="39">
        <v>1</v>
      </c>
      <c r="C9" s="40">
        <f t="shared" si="0"/>
        <v>0.06</v>
      </c>
      <c r="D9" s="33">
        <f t="shared" si="1"/>
        <v>0.06</v>
      </c>
      <c r="E9" s="34"/>
    </row>
    <row r="10" spans="1:12" x14ac:dyDescent="0.2">
      <c r="B10" s="39">
        <v>1.2</v>
      </c>
      <c r="C10" s="40">
        <f t="shared" si="0"/>
        <v>6.7999999999999991E-2</v>
      </c>
      <c r="D10" s="33">
        <f t="shared" si="1"/>
        <v>6.7999999999999991E-2</v>
      </c>
      <c r="E10" s="34"/>
    </row>
    <row r="11" spans="1:12" x14ac:dyDescent="0.2">
      <c r="B11" s="39">
        <v>1.4</v>
      </c>
      <c r="C11" s="40">
        <f t="shared" si="0"/>
        <v>7.5999999999999984E-2</v>
      </c>
      <c r="D11" s="33">
        <f t="shared" si="1"/>
        <v>7.5999999999999984E-2</v>
      </c>
      <c r="E11" s="34"/>
    </row>
    <row r="12" spans="1:12" x14ac:dyDescent="0.2">
      <c r="B12" s="39">
        <v>1.6</v>
      </c>
      <c r="C12" s="40">
        <f t="shared" si="0"/>
        <v>8.3999999999999991E-2</v>
      </c>
      <c r="D12" s="33">
        <f t="shared" si="1"/>
        <v>8.3999999999999991E-2</v>
      </c>
      <c r="E12" s="34"/>
    </row>
    <row r="13" spans="1:12" x14ac:dyDescent="0.2">
      <c r="B13" s="39">
        <v>1.8</v>
      </c>
      <c r="C13" s="40">
        <f t="shared" si="0"/>
        <v>9.1999999999999998E-2</v>
      </c>
      <c r="D13" s="33">
        <f t="shared" si="1"/>
        <v>9.1999999999999998E-2</v>
      </c>
      <c r="E13" s="34"/>
    </row>
    <row r="14" spans="1:12" x14ac:dyDescent="0.2">
      <c r="B14" s="39">
        <v>2</v>
      </c>
      <c r="C14" s="40">
        <f t="shared" si="0"/>
        <v>9.9999999999999992E-2</v>
      </c>
      <c r="D14" s="33">
        <f t="shared" si="1"/>
        <v>9.9999999999999992E-2</v>
      </c>
      <c r="E14" s="34"/>
    </row>
    <row r="15" spans="1:12" x14ac:dyDescent="0.2">
      <c r="B15" s="39">
        <v>2.2000000000000002</v>
      </c>
      <c r="C15" s="40">
        <f t="shared" si="0"/>
        <v>0.108</v>
      </c>
      <c r="D15" s="33">
        <f t="shared" si="1"/>
        <v>0.108</v>
      </c>
      <c r="E15" s="34"/>
    </row>
    <row r="16" spans="1:12" x14ac:dyDescent="0.2">
      <c r="B16" s="39">
        <v>2.4</v>
      </c>
      <c r="C16" s="40">
        <f t="shared" si="0"/>
        <v>0.11599999999999999</v>
      </c>
      <c r="D16" s="33">
        <f t="shared" si="1"/>
        <v>0.11599999999999999</v>
      </c>
      <c r="E16" s="34"/>
    </row>
    <row r="17" spans="2:4" x14ac:dyDescent="0.2">
      <c r="B17" s="24"/>
      <c r="C17" s="24"/>
      <c r="D17" s="24"/>
    </row>
    <row r="18" spans="2:4" x14ac:dyDescent="0.2">
      <c r="B18" s="24"/>
      <c r="C18" s="24"/>
      <c r="D18" s="24"/>
    </row>
    <row r="19" spans="2:4" x14ac:dyDescent="0.2">
      <c r="B19" s="24"/>
      <c r="C19" s="24"/>
      <c r="D19" s="24"/>
    </row>
  </sheetData>
  <mergeCells count="1">
    <mergeCell ref="A1:L1"/>
  </mergeCells>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Table</vt:lpstr>
      <vt:lpstr>Data Table2</vt:lpstr>
      <vt:lpstr>IRR NPV</vt:lpstr>
      <vt:lpstr>Function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dc:creator>
  <cp:lastModifiedBy>Mark Woodard</cp:lastModifiedBy>
  <dcterms:created xsi:type="dcterms:W3CDTF">2011-09-26T03:54:27Z</dcterms:created>
  <dcterms:modified xsi:type="dcterms:W3CDTF">2019-02-07T17:30:22Z</dcterms:modified>
</cp:coreProperties>
</file>